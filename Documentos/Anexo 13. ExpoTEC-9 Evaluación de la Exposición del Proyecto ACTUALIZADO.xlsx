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2023\FERIAS\Anexos (editables)\"/>
    </mc:Choice>
  </mc:AlternateContent>
  <xr:revisionPtr revIDLastSave="0" documentId="13_ncr:1_{094013D1-8720-42F6-99F7-19ABFD205F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E58" i="1"/>
  <c r="B59" i="1" s="1"/>
  <c r="G58" i="1"/>
  <c r="I58" i="1"/>
  <c r="C58" i="1"/>
  <c r="C59" i="1" l="1"/>
  <c r="B60" i="1"/>
</calcChain>
</file>

<file path=xl/sharedStrings.xml><?xml version="1.0" encoding="utf-8"?>
<sst xmlns="http://schemas.openxmlformats.org/spreadsheetml/2006/main" count="142" uniqueCount="82">
  <si>
    <t>Anexo 13</t>
  </si>
  <si>
    <t>ExpoTEC-9 Evaluación de la Exposición del Proyecto.</t>
  </si>
  <si>
    <t>ExpoTEC-9</t>
  </si>
  <si>
    <t>Evaluación de la Exposición del Proyecto</t>
  </si>
  <si>
    <t>Instrucciones:</t>
  </si>
  <si>
    <t xml:space="preserve">A continuación, se presentan los indicadores por evaluar en la exposición del proyecto.  Seleccione alguno de los siguientes niveles de la escala, según su criterio: </t>
  </si>
  <si>
    <r>
      <t xml:space="preserve">Logrado: </t>
    </r>
    <r>
      <rPr>
        <sz val="11"/>
        <color theme="1"/>
        <rFont val="Century Gothic"/>
        <family val="2"/>
      </rPr>
      <t xml:space="preserve">Demuestra a </t>
    </r>
    <r>
      <rPr>
        <u/>
        <sz val="11"/>
        <color theme="1"/>
        <rFont val="Century Gothic"/>
        <family val="2"/>
      </rPr>
      <t>cabalidad el dominio de la totalidad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</si>
  <si>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Parcialmente logrado: </t>
    </r>
    <r>
      <rPr>
        <sz val="11"/>
        <color theme="1"/>
        <rFont val="Century Gothic"/>
        <family val="2"/>
      </rPr>
      <t xml:space="preserve">Demuestra un </t>
    </r>
    <r>
      <rPr>
        <u/>
        <sz val="11"/>
        <color theme="1"/>
        <rFont val="Century Gothic"/>
        <family val="2"/>
      </rPr>
      <t>dominio parcial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</si>
  <si>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No logrado: </t>
    </r>
    <r>
      <rPr>
        <sz val="11"/>
        <color theme="1"/>
        <rFont val="Century Gothic"/>
        <family val="2"/>
      </rPr>
      <t xml:space="preserve">Demuestra </t>
    </r>
    <r>
      <rPr>
        <u/>
        <sz val="11"/>
        <color theme="1"/>
        <rFont val="Century Gothic"/>
        <family val="2"/>
      </rPr>
      <t>carencia en el dominio</t>
    </r>
    <r>
      <rPr>
        <sz val="11"/>
        <color theme="1"/>
        <rFont val="Century Gothic"/>
        <family val="2"/>
      </rPr>
      <t xml:space="preserve"> de los elementos considerados en el indicador.   </t>
    </r>
  </si>
  <si>
    <r>
      <t xml:space="preserve">Ausente: </t>
    </r>
    <r>
      <rPr>
        <u/>
        <sz val="11"/>
        <color theme="1"/>
        <rFont val="Century Gothic"/>
        <family val="2"/>
      </rPr>
      <t>No se evidencia el cumplimiento</t>
    </r>
    <r>
      <rPr>
        <sz val="11"/>
        <color theme="1"/>
        <rFont val="Century Gothic"/>
        <family val="2"/>
      </rPr>
      <t xml:space="preserve"> del indicador considerado.</t>
    </r>
  </si>
  <si>
    <t>Especialización Técnica</t>
  </si>
  <si>
    <r>
      <t>I.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Century Gothic"/>
        <family val="2"/>
      </rPr>
      <t>Identificación y formulación del problema</t>
    </r>
  </si>
  <si>
    <t xml:space="preserve"> (2 pto)</t>
  </si>
  <si>
    <t>Regular</t>
  </si>
  <si>
    <t>(1 pto)</t>
  </si>
  <si>
    <t>Ausente</t>
  </si>
  <si>
    <t>Observaciones</t>
  </si>
  <si>
    <r>
      <t>II.</t>
    </r>
    <r>
      <rPr>
        <b/>
        <sz val="7"/>
        <color theme="1"/>
        <rFont val="Times New Roman"/>
        <family val="1"/>
      </rPr>
      <t xml:space="preserve">   </t>
    </r>
    <r>
      <rPr>
        <b/>
        <sz val="11"/>
        <color theme="1"/>
        <rFont val="Century Gothic"/>
        <family val="2"/>
      </rPr>
      <t>Elaboración del proyecto</t>
    </r>
  </si>
  <si>
    <r>
      <t>III.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entury Gothic"/>
        <family val="2"/>
      </rPr>
      <t>Prototipo</t>
    </r>
  </si>
  <si>
    <r>
      <t>IV.</t>
    </r>
    <r>
      <rPr>
        <b/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Century Gothic"/>
        <family val="2"/>
      </rPr>
      <t>Exposición del proyecto</t>
    </r>
  </si>
  <si>
    <t>II. Capacidades emprendedoras (Modelo de Negocios)</t>
  </si>
  <si>
    <t>Logrado  (3 ptos)</t>
  </si>
  <si>
    <t>Subtotales por columna</t>
  </si>
  <si>
    <t xml:space="preserve">Logrado  </t>
  </si>
  <si>
    <t xml:space="preserve">(3 ptos) </t>
  </si>
  <si>
    <t xml:space="preserve">Logrado   </t>
  </si>
  <si>
    <t>(3 ptos)</t>
  </si>
  <si>
    <t xml:space="preserve">  (3 ptos) </t>
  </si>
  <si>
    <t>Logrado</t>
  </si>
  <si>
    <t>Puntaje obtenido:</t>
  </si>
  <si>
    <t>Porcentaje obtenido:</t>
  </si>
  <si>
    <t>Recomendaciones para la mejora del proyecto:</t>
  </si>
  <si>
    <t>Nombre de la persona juez:</t>
  </si>
  <si>
    <t xml:space="preserve">Firma:  </t>
  </si>
  <si>
    <r>
      <t xml:space="preserve">Fecha: </t>
    </r>
    <r>
      <rPr>
        <sz val="11"/>
        <color rgb="FF808080"/>
        <rFont val="Century Gothic"/>
        <family val="2"/>
      </rPr>
      <t>Haga clic aquí para escribir una fecha.</t>
    </r>
  </si>
  <si>
    <t xml:space="preserve">Fecha: </t>
  </si>
  <si>
    <t>Haga clic aquí para escribir una fecha.</t>
  </si>
  <si>
    <t xml:space="preserve">Categoría: </t>
  </si>
  <si>
    <r>
      <t>Título del proyecto:</t>
    </r>
    <r>
      <rPr>
        <b/>
        <sz val="11"/>
        <color rgb="FF000000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 xml:space="preserve"> </t>
    </r>
  </si>
  <si>
    <t>Nombre estudiante</t>
  </si>
  <si>
    <t>Nombre de las personas estudiantes:</t>
  </si>
  <si>
    <t>Nombre centro educativo</t>
  </si>
  <si>
    <t xml:space="preserve">Centro educativo:  </t>
  </si>
  <si>
    <t>Escriba el titulo del proyecto</t>
  </si>
  <si>
    <t>Producción Agrícola y Precuaria</t>
  </si>
  <si>
    <t>Industria Alimentaria</t>
  </si>
  <si>
    <t>Energías Renovables</t>
  </si>
  <si>
    <t>Ingeniería Ambiental</t>
  </si>
  <si>
    <t>Mecatrónica</t>
  </si>
  <si>
    <t>Tecnologías de la Información aplicadas a la Informatica</t>
  </si>
  <si>
    <t>Ingeniería Mecánica</t>
  </si>
  <si>
    <t>Ingeniería de los materiales</t>
  </si>
  <si>
    <t>Diseños</t>
  </si>
  <si>
    <t>Contabilidad, Finanzas y banca</t>
  </si>
  <si>
    <t>Servicios secretariales</t>
  </si>
  <si>
    <t>Hostelería y Servicios Turísticos</t>
  </si>
  <si>
    <t>Gestión de suministros</t>
  </si>
  <si>
    <t>Mercadeo</t>
  </si>
  <si>
    <t>Seguridad y protección laboral</t>
  </si>
  <si>
    <t>Elija una categoría</t>
  </si>
  <si>
    <t>Parcialmente logrado</t>
  </si>
  <si>
    <r>
      <t>Evidencia el impacto del proyecto a nivel social, científico o tecnológico, tanto a corto como largo plazo.</t>
    </r>
    <r>
      <rPr>
        <b/>
        <i/>
        <sz val="11"/>
        <color rgb="FF000000"/>
        <rFont val="Century Gothic"/>
        <family val="2"/>
      </rPr>
      <t xml:space="preserve"> (Responsabilidad social)</t>
    </r>
  </si>
  <si>
    <t>Da respuesta a la necesidad u objetivos planteados.</t>
  </si>
  <si>
    <t>Caracteriza el segmento de clientes (Necesidades - comportamientos - atributos)</t>
  </si>
  <si>
    <t>Expone las fuentes de ingresos y estructura de costos</t>
  </si>
  <si>
    <t>Evidencia capacidad de comunicación oral y dominio del tema del proyecto.</t>
  </si>
  <si>
    <r>
      <t>Emplea recursos afines con el tema del proyecto (</t>
    </r>
    <r>
      <rPr>
        <b/>
        <sz val="11"/>
        <color rgb="FF000000"/>
        <rFont val="Century Gothic"/>
        <family val="2"/>
      </rPr>
      <t>Cartel de presentación, gráficos, esquemas</t>
    </r>
    <r>
      <rPr>
        <sz val="11"/>
        <color rgb="FF000000"/>
        <rFont val="Century Gothic"/>
        <family val="2"/>
      </rPr>
      <t>)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</si>
  <si>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entury Gothic"/>
        <family val="2"/>
      </rPr>
      <t>Define el problema de forma precisa.</t>
    </r>
  </si>
  <si>
    <t>Argumenta el análisis e interpretación de los datos recopilados, desde la implementación del proyecto.</t>
  </si>
  <si>
    <t>Demuestra la factibilidad e implementación comercial o industrial del proyecto.</t>
  </si>
  <si>
    <t>Evidencia el funcionamiento según la solución planteada en el proyecto, implementando tecnologías y elementos de sostenibilidad.</t>
  </si>
  <si>
    <t>Describe la metodología utilizada para la implementación, evaluación de la solución propuesta.</t>
  </si>
  <si>
    <t>V. Segmento de mercado y Propuesta de valor</t>
  </si>
  <si>
    <t>VI.  Relación con los clientes y Actividades clave</t>
  </si>
  <si>
    <t xml:space="preserve">Presenta las demandas del segmento de clientes </t>
  </si>
  <si>
    <t>VII. Fuentes de ingresos y estructura de costos</t>
  </si>
  <si>
    <t xml:space="preserve">Describe el seguimientos para asegurar la calidad de los bienes o servicios ofrecidos. </t>
  </si>
  <si>
    <t xml:space="preserve">VIII. Canales y Aliados </t>
  </si>
  <si>
    <r>
      <t>Explica los</t>
    </r>
    <r>
      <rPr>
        <sz val="11"/>
        <color rgb="FF000000"/>
        <rFont val="Century Gothic"/>
        <family val="2"/>
      </rPr>
      <t xml:space="preserve"> canales utilizados para dar a conocer su modelo de negocios</t>
    </r>
  </si>
  <si>
    <t>Describre las alianzas estratégicas de la propuesta de valor de su proyecto.</t>
  </si>
  <si>
    <r>
      <t>Plantea alternativas de solución que contemplan aspectos teóricos y practicos atinentes al problema.  (</t>
    </r>
    <r>
      <rPr>
        <b/>
        <i/>
        <sz val="11"/>
        <color rgb="FF000000"/>
        <rFont val="Century Gothic"/>
        <family val="2"/>
      </rPr>
      <t>Resolución de problemas</t>
    </r>
    <r>
      <rPr>
        <sz val="11"/>
        <color rgb="FF000000"/>
        <rFont val="Century Gothic"/>
        <family val="1"/>
      </rPr>
      <t>)</t>
    </r>
  </si>
  <si>
    <r>
      <t>Expone una propuesta innovadora y creativa con respecto al mercado (</t>
    </r>
    <r>
      <rPr>
        <b/>
        <i/>
        <sz val="11"/>
        <color rgb="FF000000"/>
        <rFont val="Century Gothic"/>
        <family val="2"/>
      </rPr>
      <t>Creatividad e Innovación</t>
    </r>
    <r>
      <rPr>
        <sz val="11"/>
        <color rgb="FF000000"/>
        <rFont val="Century Gothic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</si>
</sst>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59585D"/>
      <name val="Century Gothic"/>
      <family val="2"/>
    </font>
    <font>
      <sz val="12"/>
      <color rgb="FF59585D"/>
      <name val="Century Gothic"/>
      <family val="2"/>
    </font>
    <font>
      <b/>
      <sz val="11"/>
      <color theme="1"/>
      <name val="Century Gothic"/>
      <family val="2"/>
    </font>
    <font>
      <b/>
      <sz val="11"/>
      <color rgb="FF1F3864"/>
      <name val="Century Gothic"/>
      <family val="2"/>
    </font>
    <font>
      <sz val="11"/>
      <color rgb="FF808080"/>
      <name val="Century Gothic"/>
      <family val="2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u/>
      <sz val="11"/>
      <color theme="1"/>
      <name val="Century Gothic"/>
      <family val="2"/>
    </font>
    <font>
      <b/>
      <sz val="7"/>
      <color theme="1"/>
      <name val="Times New Roman"/>
      <family val="1"/>
    </font>
    <font>
      <sz val="11"/>
      <color rgb="FF000000"/>
      <name val="Century Gothic"/>
      <family val="2"/>
    </font>
    <font>
      <sz val="7"/>
      <color rgb="FF000000"/>
      <name val="Times New Roman"/>
      <family val="1"/>
    </font>
    <font>
      <b/>
      <i/>
      <sz val="11"/>
      <color rgb="FF000000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2" tint="-0.249977111117893"/>
      <name val="Century Gothic"/>
      <family val="2"/>
    </font>
    <font>
      <sz val="11"/>
      <color theme="2" tint="-0.249977111117893"/>
      <name val="Calibri"/>
      <family val="2"/>
      <scheme val="minor"/>
    </font>
    <font>
      <sz val="11"/>
      <color theme="2" tint="-0.249977111117893"/>
      <name val="Century Gothic"/>
      <family val="2"/>
    </font>
    <font>
      <sz val="11"/>
      <color rgb="FF00000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/>
    <xf numFmtId="0" fontId="7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5" fillId="2" borderId="0" xfId="0" applyFont="1" applyFill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2"/>
    </xf>
    <xf numFmtId="0" fontId="10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8"/>
    </xf>
    <xf numFmtId="0" fontId="6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 indent="8"/>
    </xf>
    <xf numFmtId="0" fontId="3" fillId="3" borderId="8" xfId="0" applyFont="1" applyFill="1" applyBorder="1" applyAlignment="1">
      <alignment horizontal="left" vertical="center" wrapText="1" indent="8"/>
    </xf>
    <xf numFmtId="0" fontId="3" fillId="3" borderId="9" xfId="0" applyFont="1" applyFill="1" applyBorder="1" applyAlignment="1">
      <alignment horizontal="left" vertical="center" wrapText="1" indent="8"/>
    </xf>
    <xf numFmtId="0" fontId="3" fillId="3" borderId="10" xfId="0" applyFont="1" applyFill="1" applyBorder="1" applyAlignment="1">
      <alignment horizontal="left" vertical="center" wrapText="1" indent="8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786493</xdr:colOff>
      <xdr:row>1</xdr:row>
      <xdr:rowOff>24493</xdr:rowOff>
    </xdr:from>
    <xdr:to>
      <xdr:col>0</xdr:col>
      <xdr:colOff>1453243</xdr:colOff>
      <xdr:row>3</xdr:row>
      <xdr:rowOff>63954</xdr:rowOff>
    </xdr:to>
    <xdr:pic>
      <xdr:nvPicPr>
        <xdr:cNvPr id="2" name="Imagen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493" y="283029"/>
          <a:ext cx="6667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2139042</xdr:colOff>
      <xdr:row>0</xdr:row>
      <xdr:rowOff>198663</xdr:rowOff>
    </xdr:from>
    <xdr:to>
      <xdr:col>0</xdr:col>
      <xdr:colOff>2720067</xdr:colOff>
      <xdr:row>3</xdr:row>
      <xdr:rowOff>103413</xdr:rowOff>
    </xdr:to>
    <xdr:pic>
      <xdr:nvPicPr>
        <xdr:cNvPr id="3" name="Imagen 8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042" y="198663"/>
          <a:ext cx="5810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1048542</xdr:row>
      <xdr:rowOff>0</xdr:rowOff>
    </xdr:from>
    <xdr:to>
      <xdr:col>0</xdr:col>
      <xdr:colOff>1914525</xdr:colOff>
      <xdr:row>1048542</xdr:row>
      <xdr:rowOff>0</xdr:rowOff>
    </xdr:to>
    <xdr:sp macro="" textlink="">
      <xdr:nvSpPr>
        <xdr:cNvPr id="1025" name="Rectángulo: esquinas redondeadas 2">
          <a:extLst>
            <a:ext uri="{FF2B5EF4-FFF2-40B4-BE49-F238E27FC236}">
              <a16:creationId xmlns:a16="http://schemas.microsoft.com/office/drawing/2014/main" id="{B3540CED-07B4-05AC-FEBD-82CBC78CB95D}"/>
            </a:ext>
          </a:extLst>
        </xdr:cNvPr>
        <xdr:cNvSpPr>
          <a:spLocks/>
        </xdr:cNvSpPr>
      </xdr:nvSpPr>
      <xdr:spPr bwMode="auto">
        <a:xfrm>
          <a:off x="0" y="21736050"/>
          <a:ext cx="1914525" cy="0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B5D5A7"/>
            </a:gs>
            <a:gs pos="50000">
              <a:srgbClr val="AACE99"/>
            </a:gs>
            <a:gs pos="100000">
              <a:srgbClr val="9CCA86"/>
            </a:gs>
          </a:gsLst>
          <a:lin ang="5400000"/>
        </a:gradFill>
        <a:ln w="6350">
          <a:solidFill>
            <a:srgbClr val="70AD47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144</a:t>
          </a:r>
          <a:endParaRPr lang="es-C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s-CR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13607</xdr:colOff>
      <xdr:row>60</xdr:row>
      <xdr:rowOff>95250</xdr:rowOff>
    </xdr:from>
    <xdr:to>
      <xdr:col>0</xdr:col>
      <xdr:colOff>2843893</xdr:colOff>
      <xdr:row>63</xdr:row>
      <xdr:rowOff>13607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33E930-D352-ADE4-801A-C121B87159CC}"/>
            </a:ext>
          </a:extLst>
        </xdr:cNvPr>
        <xdr:cNvSpPr/>
      </xdr:nvSpPr>
      <xdr:spPr>
        <a:xfrm>
          <a:off x="13607" y="20927786"/>
          <a:ext cx="2830286" cy="4898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R" sz="2400"/>
            <a:t>Puntaje Total:</a:t>
          </a:r>
          <a:r>
            <a:rPr lang="es-CR" sz="2400" baseline="0"/>
            <a:t> 51 </a:t>
          </a:r>
          <a:endParaRPr lang="es-CR" sz="2400"/>
        </a:p>
      </xdr:txBody>
    </xdr:sp>
    <xdr:clientData/>
  </xdr:twoCellAnchor>
  <xdr:twoCellAnchor editAs="oneCell">
    <xdr:from>
      <xdr:col>8</xdr:col>
      <xdr:colOff>435429</xdr:colOff>
      <xdr:row>0</xdr:row>
      <xdr:rowOff>122464</xdr:rowOff>
    </xdr:from>
    <xdr:to>
      <xdr:col>9</xdr:col>
      <xdr:colOff>759279</xdr:colOff>
      <xdr:row>4</xdr:row>
      <xdr:rowOff>104049</xdr:rowOff>
    </xdr:to>
    <xdr:pic>
      <xdr:nvPicPr>
        <xdr:cNvPr id="5" name="Picture 240">
          <a:extLst>
            <a:ext uri="{FF2B5EF4-FFF2-40B4-BE49-F238E27FC236}">
              <a16:creationId xmlns:a16="http://schemas.microsoft.com/office/drawing/2014/main" id="{AA9CFC4B-BE61-0FFF-33C6-A47801350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8929" y="122464"/>
          <a:ext cx="1085850" cy="83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view="pageBreakPreview" topLeftCell="A52" zoomScale="140" zoomScaleNormal="110" zoomScaleSheetLayoutView="140" workbookViewId="0">
      <selection activeCell="A56" sqref="A56:B56"/>
    </sheetView>
  </sheetViews>
  <sheetFormatPr baseColWidth="10" defaultColWidth="0" defaultRowHeight="15" zeroHeight="1" x14ac:dyDescent="0.25"/>
  <cols>
    <col min="1" max="1" width="54.28515625" customWidth="1"/>
    <col min="2" max="10" width="11.42578125" customWidth="1"/>
    <col min="11" max="11" width="33.85546875" customWidth="1"/>
    <col min="12" max="15" width="0" hidden="1" customWidth="1"/>
    <col min="16" max="16384" width="11.42578125" hidden="1"/>
  </cols>
  <sheetData>
    <row r="1" spans="1:16" ht="20.25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6"/>
      <c r="M1" s="6"/>
      <c r="N1" s="6"/>
      <c r="O1" s="6"/>
    </row>
    <row r="2" spans="1:16" ht="17.25" x14ac:dyDescent="0.2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7"/>
      <c r="M2" s="7"/>
      <c r="N2" s="7"/>
      <c r="O2" s="7"/>
    </row>
    <row r="3" spans="1:16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6" x14ac:dyDescent="0.25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1"/>
      <c r="M4" s="1"/>
      <c r="N4" s="1"/>
      <c r="O4" s="1"/>
    </row>
    <row r="5" spans="1:16" x14ac:dyDescent="0.25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1"/>
      <c r="M5" s="1"/>
      <c r="N5" s="1"/>
      <c r="O5" s="1"/>
    </row>
    <row r="6" spans="1:16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6" ht="16.5" x14ac:dyDescent="0.25">
      <c r="A7" s="14" t="s">
        <v>42</v>
      </c>
      <c r="B7" s="34" t="s">
        <v>41</v>
      </c>
      <c r="C7" s="34"/>
      <c r="D7" s="34"/>
      <c r="E7" s="34"/>
      <c r="F7" s="34"/>
      <c r="G7" s="34"/>
      <c r="H7" s="34"/>
      <c r="I7" s="34"/>
      <c r="J7" s="34"/>
      <c r="K7" s="3"/>
    </row>
    <row r="8" spans="1:16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3"/>
    </row>
    <row r="9" spans="1:16" ht="16.5" x14ac:dyDescent="0.25">
      <c r="A9" s="14" t="s">
        <v>40</v>
      </c>
      <c r="B9" s="34" t="s">
        <v>39</v>
      </c>
      <c r="C9" s="34"/>
      <c r="D9" s="34"/>
      <c r="E9" s="34"/>
      <c r="F9" s="34"/>
      <c r="G9" s="34"/>
      <c r="H9" s="34"/>
      <c r="I9" s="34"/>
      <c r="J9" s="34"/>
      <c r="K9" s="2"/>
      <c r="L9" s="2"/>
      <c r="M9" s="2"/>
      <c r="N9" s="2"/>
      <c r="O9" s="2"/>
      <c r="P9" s="2"/>
    </row>
    <row r="10" spans="1:16" ht="16.5" x14ac:dyDescent="0.25">
      <c r="A10" s="16"/>
      <c r="B10" s="34" t="s">
        <v>39</v>
      </c>
      <c r="C10" s="34"/>
      <c r="D10" s="34"/>
      <c r="E10" s="34"/>
      <c r="F10" s="34"/>
      <c r="G10" s="34"/>
      <c r="H10" s="34"/>
      <c r="I10" s="34"/>
      <c r="J10" s="34"/>
      <c r="K10" s="3"/>
    </row>
    <row r="11" spans="1:16" ht="16.5" x14ac:dyDescent="0.25">
      <c r="A11" s="17"/>
      <c r="B11" s="34" t="s">
        <v>39</v>
      </c>
      <c r="C11" s="34"/>
      <c r="D11" s="34"/>
      <c r="E11" s="34"/>
      <c r="F11" s="34"/>
      <c r="G11" s="34"/>
      <c r="H11" s="34"/>
      <c r="I11" s="34"/>
      <c r="J11" s="34"/>
      <c r="K11" s="3"/>
    </row>
    <row r="12" spans="1:16" x14ac:dyDescent="0.25">
      <c r="A12" s="14" t="s">
        <v>38</v>
      </c>
      <c r="B12" s="36" t="s">
        <v>43</v>
      </c>
      <c r="C12" s="36"/>
      <c r="D12" s="36"/>
      <c r="E12" s="36"/>
      <c r="F12" s="36"/>
      <c r="G12" s="3" t="s">
        <v>37</v>
      </c>
      <c r="H12" s="37" t="s">
        <v>57</v>
      </c>
      <c r="I12" s="37"/>
      <c r="J12" s="3"/>
      <c r="K12" s="3"/>
    </row>
    <row r="13" spans="1:16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6" x14ac:dyDescent="0.25">
      <c r="A14" s="2" t="s">
        <v>4</v>
      </c>
      <c r="B14" s="3"/>
      <c r="C14" s="3"/>
      <c r="D14" s="3"/>
      <c r="E14" s="3"/>
      <c r="F14" s="3"/>
      <c r="G14" s="35"/>
      <c r="H14" s="35"/>
      <c r="I14" s="35"/>
      <c r="J14" s="35"/>
      <c r="K14" s="35"/>
      <c r="L14" s="35"/>
      <c r="M14" s="35"/>
      <c r="N14" s="35"/>
      <c r="O14" s="35"/>
    </row>
    <row r="15" spans="1:16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6" ht="16.5" x14ac:dyDescent="0.25">
      <c r="A16" s="5" t="s">
        <v>5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6.5" x14ac:dyDescent="0.25">
      <c r="A17" s="2" t="s">
        <v>6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6.5" x14ac:dyDescent="0.25">
      <c r="A18" s="2" t="s">
        <v>7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6.5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6.5" x14ac:dyDescent="0.25">
      <c r="A20" s="2" t="s">
        <v>9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/>
    <row r="22" spans="1:11" x14ac:dyDescent="0.25">
      <c r="A22" s="38" t="s">
        <v>10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27" customHeight="1" x14ac:dyDescent="0.25">
      <c r="A23" s="39" t="s">
        <v>11</v>
      </c>
      <c r="B23" s="39"/>
      <c r="C23" s="40" t="s">
        <v>23</v>
      </c>
      <c r="D23" s="41"/>
      <c r="E23" s="38" t="s">
        <v>60</v>
      </c>
      <c r="F23" s="38"/>
      <c r="G23" s="38" t="s">
        <v>13</v>
      </c>
      <c r="H23" s="38"/>
      <c r="I23" s="38" t="s">
        <v>15</v>
      </c>
      <c r="J23" s="38"/>
      <c r="K23" s="38" t="s">
        <v>16</v>
      </c>
    </row>
    <row r="24" spans="1:11" x14ac:dyDescent="0.25">
      <c r="A24" s="39"/>
      <c r="B24" s="39"/>
      <c r="C24" s="40" t="s">
        <v>24</v>
      </c>
      <c r="D24" s="41"/>
      <c r="E24" s="38" t="s">
        <v>12</v>
      </c>
      <c r="F24" s="38"/>
      <c r="G24" s="38" t="s">
        <v>14</v>
      </c>
      <c r="H24" s="38"/>
      <c r="I24" s="38">
        <v>0</v>
      </c>
      <c r="J24" s="38"/>
      <c r="K24" s="38"/>
    </row>
    <row r="25" spans="1:11" ht="37.5" customHeight="1" x14ac:dyDescent="0.25">
      <c r="A25" s="20" t="s">
        <v>67</v>
      </c>
      <c r="B25" s="21"/>
      <c r="C25" s="22">
        <v>3</v>
      </c>
      <c r="D25" s="22"/>
      <c r="E25" s="22"/>
      <c r="F25" s="22"/>
      <c r="G25" s="22"/>
      <c r="H25" s="22"/>
      <c r="I25" s="22"/>
      <c r="J25" s="22"/>
      <c r="K25" s="8"/>
    </row>
    <row r="26" spans="1:11" ht="60" customHeight="1" x14ac:dyDescent="0.25">
      <c r="A26" s="20" t="s">
        <v>80</v>
      </c>
      <c r="B26" s="21"/>
      <c r="C26" s="22">
        <v>3</v>
      </c>
      <c r="D26" s="22"/>
      <c r="E26" s="22"/>
      <c r="F26" s="22"/>
      <c r="G26" s="22"/>
      <c r="H26" s="22"/>
      <c r="I26" s="22"/>
      <c r="J26" s="22"/>
      <c r="K26" s="8"/>
    </row>
    <row r="27" spans="1:11" ht="51.75" customHeight="1" x14ac:dyDescent="0.25">
      <c r="A27" s="21" t="s">
        <v>61</v>
      </c>
      <c r="B27" s="21"/>
      <c r="C27" s="22">
        <v>3</v>
      </c>
      <c r="D27" s="22"/>
      <c r="E27" s="22"/>
      <c r="F27" s="22"/>
      <c r="G27" s="22"/>
      <c r="H27" s="22"/>
      <c r="I27" s="22"/>
      <c r="J27" s="22"/>
      <c r="K27" s="8"/>
    </row>
    <row r="28" spans="1:11" ht="27.75" customHeight="1" x14ac:dyDescent="0.25">
      <c r="A28" s="38" t="s">
        <v>17</v>
      </c>
      <c r="B28" s="38"/>
      <c r="C28" s="40" t="s">
        <v>25</v>
      </c>
      <c r="D28" s="41"/>
      <c r="E28" s="38" t="s">
        <v>60</v>
      </c>
      <c r="F28" s="38"/>
      <c r="G28" s="38" t="s">
        <v>13</v>
      </c>
      <c r="H28" s="38"/>
      <c r="I28" s="38" t="s">
        <v>15</v>
      </c>
      <c r="J28" s="38"/>
      <c r="K28" s="38" t="s">
        <v>16</v>
      </c>
    </row>
    <row r="29" spans="1:11" x14ac:dyDescent="0.25">
      <c r="A29" s="38"/>
      <c r="B29" s="38"/>
      <c r="C29" s="40" t="s">
        <v>26</v>
      </c>
      <c r="D29" s="41"/>
      <c r="E29" s="38" t="s">
        <v>12</v>
      </c>
      <c r="F29" s="38"/>
      <c r="G29" s="38" t="s">
        <v>14</v>
      </c>
      <c r="H29" s="38"/>
      <c r="I29" s="38">
        <v>0</v>
      </c>
      <c r="J29" s="38"/>
      <c r="K29" s="38"/>
    </row>
    <row r="30" spans="1:11" ht="32.25" customHeight="1" x14ac:dyDescent="0.25">
      <c r="A30" s="42" t="s">
        <v>68</v>
      </c>
      <c r="B30" s="42"/>
      <c r="C30" s="22">
        <v>3</v>
      </c>
      <c r="D30" s="22"/>
      <c r="E30" s="22"/>
      <c r="F30" s="22"/>
      <c r="G30" s="22"/>
      <c r="H30" s="22"/>
      <c r="I30" s="22"/>
      <c r="J30" s="22"/>
      <c r="K30" s="8"/>
    </row>
    <row r="31" spans="1:11" ht="33" customHeight="1" x14ac:dyDescent="0.25">
      <c r="A31" s="42" t="s">
        <v>69</v>
      </c>
      <c r="B31" s="42"/>
      <c r="C31" s="22">
        <v>3</v>
      </c>
      <c r="D31" s="22"/>
      <c r="E31" s="43"/>
      <c r="F31" s="43"/>
      <c r="G31" s="43"/>
      <c r="H31" s="43"/>
      <c r="I31" s="22"/>
      <c r="J31" s="22"/>
      <c r="K31" s="8"/>
    </row>
    <row r="32" spans="1:11" ht="27.75" customHeight="1" x14ac:dyDescent="0.25">
      <c r="A32" s="38" t="s">
        <v>18</v>
      </c>
      <c r="B32" s="38"/>
      <c r="C32" s="40" t="s">
        <v>23</v>
      </c>
      <c r="D32" s="41"/>
      <c r="E32" s="38" t="s">
        <v>60</v>
      </c>
      <c r="F32" s="38"/>
      <c r="G32" s="38" t="s">
        <v>13</v>
      </c>
      <c r="H32" s="38"/>
      <c r="I32" s="38" t="s">
        <v>15</v>
      </c>
      <c r="J32" s="38"/>
      <c r="K32" s="38" t="s">
        <v>16</v>
      </c>
    </row>
    <row r="33" spans="1:11" x14ac:dyDescent="0.25">
      <c r="A33" s="38"/>
      <c r="B33" s="38"/>
      <c r="C33" s="40" t="s">
        <v>26</v>
      </c>
      <c r="D33" s="41"/>
      <c r="E33" s="38" t="s">
        <v>12</v>
      </c>
      <c r="F33" s="38"/>
      <c r="G33" s="38" t="s">
        <v>14</v>
      </c>
      <c r="H33" s="38"/>
      <c r="I33" s="38">
        <v>0</v>
      </c>
      <c r="J33" s="38"/>
      <c r="K33" s="38"/>
    </row>
    <row r="34" spans="1:11" ht="16.5" x14ac:dyDescent="0.25">
      <c r="A34" s="42" t="s">
        <v>62</v>
      </c>
      <c r="B34" s="42"/>
      <c r="C34" s="22">
        <v>3</v>
      </c>
      <c r="D34" s="22"/>
      <c r="E34" s="22"/>
      <c r="F34" s="22"/>
      <c r="G34" s="22"/>
      <c r="H34" s="22"/>
      <c r="I34" s="22"/>
      <c r="J34" s="22"/>
      <c r="K34" s="8"/>
    </row>
    <row r="35" spans="1:11" ht="47.25" customHeight="1" x14ac:dyDescent="0.25">
      <c r="A35" s="42" t="s">
        <v>70</v>
      </c>
      <c r="B35" s="42"/>
      <c r="C35" s="22">
        <v>3</v>
      </c>
      <c r="D35" s="22"/>
      <c r="E35" s="44"/>
      <c r="F35" s="44"/>
      <c r="G35" s="22"/>
      <c r="H35" s="22"/>
      <c r="I35" s="22"/>
      <c r="J35" s="22"/>
      <c r="K35" s="8"/>
    </row>
    <row r="36" spans="1:11" ht="30" customHeight="1" x14ac:dyDescent="0.25">
      <c r="A36" s="54" t="s">
        <v>19</v>
      </c>
      <c r="B36" s="55"/>
      <c r="C36" s="53" t="s">
        <v>28</v>
      </c>
      <c r="D36" s="41"/>
      <c r="E36" s="38" t="s">
        <v>60</v>
      </c>
      <c r="F36" s="38"/>
      <c r="G36" s="40" t="s">
        <v>13</v>
      </c>
      <c r="H36" s="41"/>
      <c r="I36" s="40" t="s">
        <v>15</v>
      </c>
      <c r="J36" s="41"/>
      <c r="K36" s="45" t="s">
        <v>16</v>
      </c>
    </row>
    <row r="37" spans="1:11" x14ac:dyDescent="0.25">
      <c r="A37" s="56"/>
      <c r="B37" s="57"/>
      <c r="C37" s="53" t="s">
        <v>27</v>
      </c>
      <c r="D37" s="41"/>
      <c r="E37" s="40" t="s">
        <v>12</v>
      </c>
      <c r="F37" s="41"/>
      <c r="G37" s="40" t="s">
        <v>14</v>
      </c>
      <c r="H37" s="41"/>
      <c r="I37" s="40">
        <v>0</v>
      </c>
      <c r="J37" s="41"/>
      <c r="K37" s="46"/>
    </row>
    <row r="38" spans="1:11" ht="31.5" customHeight="1" x14ac:dyDescent="0.25">
      <c r="A38" s="25" t="s">
        <v>65</v>
      </c>
      <c r="B38" s="26"/>
      <c r="C38" s="58">
        <v>3</v>
      </c>
      <c r="D38" s="59"/>
      <c r="E38" s="23"/>
      <c r="F38" s="24"/>
      <c r="G38" s="23"/>
      <c r="H38" s="24"/>
      <c r="I38" s="23"/>
      <c r="J38" s="24"/>
      <c r="K38" s="8"/>
    </row>
    <row r="39" spans="1:11" ht="36" customHeight="1" x14ac:dyDescent="0.25">
      <c r="A39" s="25" t="s">
        <v>71</v>
      </c>
      <c r="B39" s="26"/>
      <c r="C39" s="58">
        <v>3</v>
      </c>
      <c r="D39" s="59"/>
      <c r="E39" s="23"/>
      <c r="F39" s="24"/>
      <c r="G39" s="23"/>
      <c r="H39" s="24"/>
      <c r="I39" s="23"/>
      <c r="J39" s="24"/>
      <c r="K39" s="18"/>
    </row>
    <row r="40" spans="1:11" ht="36" customHeight="1" x14ac:dyDescent="0.25">
      <c r="A40" s="25" t="s">
        <v>66</v>
      </c>
      <c r="B40" s="26"/>
      <c r="C40" s="58">
        <v>3</v>
      </c>
      <c r="D40" s="59"/>
      <c r="E40" s="23"/>
      <c r="F40" s="24"/>
      <c r="G40" s="23"/>
      <c r="H40" s="24"/>
      <c r="I40" s="23"/>
      <c r="J40" s="24"/>
      <c r="K40" s="18"/>
    </row>
    <row r="41" spans="1:11" x14ac:dyDescent="0.25">
      <c r="A41" s="38" t="s">
        <v>20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30.75" customHeight="1" x14ac:dyDescent="0.25">
      <c r="A42" s="47" t="s">
        <v>72</v>
      </c>
      <c r="B42" s="47"/>
      <c r="C42" s="40" t="s">
        <v>28</v>
      </c>
      <c r="D42" s="41"/>
      <c r="E42" s="38" t="s">
        <v>60</v>
      </c>
      <c r="F42" s="38"/>
      <c r="G42" s="40" t="s">
        <v>13</v>
      </c>
      <c r="H42" s="41"/>
      <c r="I42" s="40" t="s">
        <v>15</v>
      </c>
      <c r="J42" s="41"/>
      <c r="K42" s="45" t="s">
        <v>16</v>
      </c>
    </row>
    <row r="43" spans="1:11" x14ac:dyDescent="0.25">
      <c r="A43" s="47"/>
      <c r="B43" s="47"/>
      <c r="C43" s="40" t="s">
        <v>27</v>
      </c>
      <c r="D43" s="41"/>
      <c r="E43" s="40" t="s">
        <v>12</v>
      </c>
      <c r="F43" s="41"/>
      <c r="G43" s="40" t="s">
        <v>14</v>
      </c>
      <c r="H43" s="41"/>
      <c r="I43" s="40">
        <v>0</v>
      </c>
      <c r="J43" s="41"/>
      <c r="K43" s="46"/>
    </row>
    <row r="44" spans="1:11" ht="34.5" customHeight="1" x14ac:dyDescent="0.25">
      <c r="A44" s="25" t="s">
        <v>63</v>
      </c>
      <c r="B44" s="48"/>
      <c r="C44" s="23">
        <v>3</v>
      </c>
      <c r="D44" s="24"/>
      <c r="E44" s="23"/>
      <c r="F44" s="24"/>
      <c r="G44" s="23"/>
      <c r="H44" s="24"/>
      <c r="I44" s="23"/>
      <c r="J44" s="24"/>
      <c r="K44" s="8"/>
    </row>
    <row r="45" spans="1:11" ht="32.25" customHeight="1" x14ac:dyDescent="0.25">
      <c r="A45" s="25" t="s">
        <v>81</v>
      </c>
      <c r="B45" s="48"/>
      <c r="C45" s="23">
        <v>3</v>
      </c>
      <c r="D45" s="24"/>
      <c r="E45" s="23"/>
      <c r="F45" s="24"/>
      <c r="G45" s="23"/>
      <c r="H45" s="24"/>
      <c r="I45" s="23"/>
      <c r="J45" s="24"/>
      <c r="K45" s="8"/>
    </row>
    <row r="46" spans="1:11" ht="29.25" customHeight="1" x14ac:dyDescent="0.25">
      <c r="A46" s="47" t="s">
        <v>73</v>
      </c>
      <c r="B46" s="47" t="s">
        <v>21</v>
      </c>
      <c r="C46" s="40" t="s">
        <v>28</v>
      </c>
      <c r="D46" s="41"/>
      <c r="E46" s="38" t="s">
        <v>60</v>
      </c>
      <c r="F46" s="38"/>
      <c r="G46" s="40" t="s">
        <v>13</v>
      </c>
      <c r="H46" s="41"/>
      <c r="I46" s="40" t="s">
        <v>15</v>
      </c>
      <c r="J46" s="41"/>
      <c r="K46" s="45" t="s">
        <v>16</v>
      </c>
    </row>
    <row r="47" spans="1:11" x14ac:dyDescent="0.25">
      <c r="A47" s="47"/>
      <c r="B47" s="47"/>
      <c r="C47" s="40" t="s">
        <v>27</v>
      </c>
      <c r="D47" s="41"/>
      <c r="E47" s="40" t="s">
        <v>12</v>
      </c>
      <c r="F47" s="41"/>
      <c r="G47" s="40" t="s">
        <v>14</v>
      </c>
      <c r="H47" s="41"/>
      <c r="I47" s="40">
        <v>0</v>
      </c>
      <c r="J47" s="41"/>
      <c r="K47" s="46"/>
    </row>
    <row r="48" spans="1:11" ht="16.5" x14ac:dyDescent="0.25">
      <c r="A48" s="25" t="s">
        <v>74</v>
      </c>
      <c r="B48" s="48"/>
      <c r="C48" s="23">
        <v>3</v>
      </c>
      <c r="D48" s="24"/>
      <c r="E48" s="23"/>
      <c r="F48" s="24"/>
      <c r="G48" s="23"/>
      <c r="H48" s="24"/>
      <c r="I48" s="23"/>
      <c r="J48" s="24"/>
      <c r="K48" s="8"/>
    </row>
    <row r="49" spans="1:11" ht="32.25" customHeight="1" x14ac:dyDescent="0.25">
      <c r="A49" s="25" t="s">
        <v>76</v>
      </c>
      <c r="B49" s="48"/>
      <c r="C49" s="23">
        <v>3</v>
      </c>
      <c r="D49" s="24"/>
      <c r="E49" s="23"/>
      <c r="F49" s="24"/>
      <c r="G49" s="23"/>
      <c r="H49" s="24"/>
      <c r="I49" s="23"/>
      <c r="J49" s="24"/>
      <c r="K49" s="8"/>
    </row>
    <row r="50" spans="1:11" ht="26.25" customHeight="1" x14ac:dyDescent="0.25">
      <c r="A50" s="47" t="s">
        <v>75</v>
      </c>
      <c r="B50" s="47" t="s">
        <v>21</v>
      </c>
      <c r="C50" s="40" t="s">
        <v>28</v>
      </c>
      <c r="D50" s="41"/>
      <c r="E50" s="38" t="s">
        <v>60</v>
      </c>
      <c r="F50" s="38"/>
      <c r="G50" s="40" t="s">
        <v>13</v>
      </c>
      <c r="H50" s="41"/>
      <c r="I50" s="40" t="s">
        <v>15</v>
      </c>
      <c r="J50" s="41"/>
      <c r="K50" s="45" t="s">
        <v>16</v>
      </c>
    </row>
    <row r="51" spans="1:11" x14ac:dyDescent="0.25">
      <c r="A51" s="47"/>
      <c r="B51" s="47"/>
      <c r="C51" s="40" t="s">
        <v>27</v>
      </c>
      <c r="D51" s="41"/>
      <c r="E51" s="40" t="s">
        <v>12</v>
      </c>
      <c r="F51" s="41"/>
      <c r="G51" s="40" t="s">
        <v>14</v>
      </c>
      <c r="H51" s="41"/>
      <c r="I51" s="40">
        <v>0</v>
      </c>
      <c r="J51" s="41"/>
      <c r="K51" s="46"/>
    </row>
    <row r="52" spans="1:11" ht="16.5" x14ac:dyDescent="0.25">
      <c r="A52" s="52" t="s">
        <v>64</v>
      </c>
      <c r="B52" s="48"/>
      <c r="C52" s="23">
        <v>3</v>
      </c>
      <c r="D52" s="24"/>
      <c r="E52" s="23"/>
      <c r="F52" s="24"/>
      <c r="G52" s="23"/>
      <c r="H52" s="24"/>
      <c r="I52" s="23"/>
      <c r="J52" s="24"/>
      <c r="K52" s="8"/>
    </row>
    <row r="53" spans="1:11" ht="30.75" customHeight="1" x14ac:dyDescent="0.25">
      <c r="A53" s="47" t="s">
        <v>77</v>
      </c>
      <c r="B53" s="47" t="s">
        <v>21</v>
      </c>
      <c r="C53" s="40" t="s">
        <v>28</v>
      </c>
      <c r="D53" s="41"/>
      <c r="E53" s="38" t="s">
        <v>60</v>
      </c>
      <c r="F53" s="38"/>
      <c r="G53" s="40" t="s">
        <v>13</v>
      </c>
      <c r="H53" s="41"/>
      <c r="I53" s="40" t="s">
        <v>15</v>
      </c>
      <c r="J53" s="41"/>
      <c r="K53" s="45" t="s">
        <v>16</v>
      </c>
    </row>
    <row r="54" spans="1:11" x14ac:dyDescent="0.25">
      <c r="A54" s="47"/>
      <c r="B54" s="47"/>
      <c r="C54" s="40" t="s">
        <v>27</v>
      </c>
      <c r="D54" s="41"/>
      <c r="E54" s="40" t="s">
        <v>12</v>
      </c>
      <c r="F54" s="41"/>
      <c r="G54" s="40" t="s">
        <v>14</v>
      </c>
      <c r="H54" s="41"/>
      <c r="I54" s="40">
        <v>0</v>
      </c>
      <c r="J54" s="41"/>
      <c r="K54" s="46"/>
    </row>
    <row r="55" spans="1:11" ht="31.5" customHeight="1" x14ac:dyDescent="0.25">
      <c r="A55" s="52" t="s">
        <v>78</v>
      </c>
      <c r="B55" s="48"/>
      <c r="C55" s="23">
        <v>3</v>
      </c>
      <c r="D55" s="24"/>
      <c r="E55" s="23"/>
      <c r="F55" s="24"/>
      <c r="G55" s="23"/>
      <c r="H55" s="24"/>
      <c r="I55" s="23"/>
      <c r="J55" s="24"/>
      <c r="K55" s="8"/>
    </row>
    <row r="56" spans="1:11" ht="28.5" customHeight="1" x14ac:dyDescent="0.25">
      <c r="A56" s="52" t="s">
        <v>79</v>
      </c>
      <c r="B56" s="48"/>
      <c r="C56" s="23">
        <v>3</v>
      </c>
      <c r="D56" s="24"/>
      <c r="E56" s="23"/>
      <c r="F56" s="24"/>
      <c r="G56" s="23"/>
      <c r="H56" s="24"/>
      <c r="I56" s="23"/>
      <c r="J56" s="24"/>
      <c r="K56" s="8"/>
    </row>
    <row r="57" spans="1:11" x14ac:dyDescent="0.25">
      <c r="A57" s="31"/>
      <c r="B57" s="32"/>
      <c r="C57" s="29"/>
      <c r="D57" s="30"/>
      <c r="E57" s="29"/>
      <c r="F57" s="30"/>
      <c r="G57" s="29"/>
      <c r="H57" s="30"/>
      <c r="I57" s="29"/>
      <c r="J57" s="30"/>
      <c r="K57" s="19"/>
    </row>
    <row r="58" spans="1:11" ht="16.5" x14ac:dyDescent="0.25">
      <c r="A58" s="27" t="s">
        <v>22</v>
      </c>
      <c r="B58" s="28"/>
      <c r="C58" s="27">
        <f>SUM(C55:D56,C52:D52,C48:D49,C44:D45,C38:D40,C34:D35,C30:D31,C25:D27)</f>
        <v>51</v>
      </c>
      <c r="D58" s="28"/>
      <c r="E58" s="27">
        <f t="shared" ref="E58" si="0">SUM(E55:F56,E52:F52,E48:F49,E44:F45,E38:F40,E34:F35,E30:F31,E25:F27)</f>
        <v>0</v>
      </c>
      <c r="F58" s="28"/>
      <c r="G58" s="27">
        <f t="shared" ref="G58" si="1">SUM(G55:H56,G52:H52,G48:H49,G44:H45,G38:H40,G34:H35,G30:H31,G25:H27)</f>
        <v>0</v>
      </c>
      <c r="H58" s="28"/>
      <c r="I58" s="27">
        <f t="shared" ref="I58" si="2">SUM(I55:J56,I52:J52,I48:J49,I44:J45,I38:J40,I34:J35,I30:J31,I25:J27)</f>
        <v>0</v>
      </c>
      <c r="J58" s="28"/>
      <c r="K58" s="8"/>
    </row>
    <row r="59" spans="1:11" x14ac:dyDescent="0.25">
      <c r="A59" s="27" t="s">
        <v>29</v>
      </c>
      <c r="B59" s="28">
        <f>+B58+C58+E58+G58</f>
        <v>51</v>
      </c>
      <c r="C59" s="27">
        <f>+C58+E58+G58+I58</f>
        <v>51</v>
      </c>
      <c r="D59" s="28"/>
      <c r="E59" s="40"/>
      <c r="F59" s="41"/>
      <c r="G59" s="40"/>
      <c r="H59" s="41"/>
      <c r="I59" s="40"/>
      <c r="J59" s="41"/>
      <c r="K59" s="9"/>
    </row>
    <row r="60" spans="1:11" x14ac:dyDescent="0.25">
      <c r="A60" s="27" t="s">
        <v>30</v>
      </c>
      <c r="B60" s="28">
        <f>+B59*0.6</f>
        <v>30.599999999999998</v>
      </c>
      <c r="C60" s="60">
        <f>C59*60/51</f>
        <v>60</v>
      </c>
      <c r="D60" s="61"/>
      <c r="E60" s="40"/>
      <c r="F60" s="41"/>
      <c r="G60" s="40"/>
      <c r="H60" s="41"/>
      <c r="I60" s="40"/>
      <c r="J60" s="41"/>
      <c r="K60" s="9"/>
    </row>
    <row r="61" spans="1:1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ht="50.25" customHeight="1" x14ac:dyDescent="0.25">
      <c r="A65" s="13" t="s">
        <v>31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ht="16.5" customHeight="1" x14ac:dyDescent="0.25">
      <c r="A66" s="13" t="s">
        <v>32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spans="1:11" ht="39.75" customHeight="1" x14ac:dyDescent="0.25">
      <c r="A67" s="13" t="s">
        <v>33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x14ac:dyDescent="0.25">
      <c r="A68" s="13" t="s">
        <v>35</v>
      </c>
      <c r="B68" s="33" t="s">
        <v>36</v>
      </c>
      <c r="C68" s="33"/>
      <c r="D68" s="33"/>
      <c r="E68" s="33"/>
      <c r="F68" s="33"/>
      <c r="G68" s="33"/>
      <c r="H68" s="33"/>
      <c r="I68" s="33"/>
      <c r="J68" s="33"/>
      <c r="K68" s="33"/>
    </row>
    <row r="69" spans="1:11" x14ac:dyDescent="0.25"/>
    <row r="70" spans="1:11" ht="15" hidden="1" customHeight="1" x14ac:dyDescent="0.25">
      <c r="A70" s="10"/>
    </row>
    <row r="71" spans="1:11" ht="15" hidden="1" customHeight="1" x14ac:dyDescent="0.25">
      <c r="A71" s="10"/>
    </row>
    <row r="72" spans="1:11" ht="15" hidden="1" customHeight="1" x14ac:dyDescent="0.25">
      <c r="A72" s="11"/>
    </row>
    <row r="73" spans="1:11" ht="15" hidden="1" customHeight="1" x14ac:dyDescent="0.25"/>
    <row r="74" spans="1:11" ht="15" hidden="1" customHeight="1" x14ac:dyDescent="0.25">
      <c r="A74" s="11" t="s">
        <v>31</v>
      </c>
    </row>
    <row r="75" spans="1:11" ht="15" hidden="1" customHeight="1" x14ac:dyDescent="0.25">
      <c r="A75" s="10"/>
    </row>
    <row r="76" spans="1:11" ht="15" hidden="1" customHeight="1" x14ac:dyDescent="0.25">
      <c r="A76" s="11" t="s">
        <v>32</v>
      </c>
    </row>
    <row r="77" spans="1:11" ht="15" hidden="1" customHeight="1" x14ac:dyDescent="0.25">
      <c r="A77" s="11"/>
    </row>
    <row r="78" spans="1:11" ht="15" hidden="1" customHeight="1" x14ac:dyDescent="0.25">
      <c r="A78" s="11" t="s">
        <v>33</v>
      </c>
    </row>
    <row r="79" spans="1:11" ht="15" hidden="1" customHeight="1" x14ac:dyDescent="0.25">
      <c r="A79" s="11"/>
    </row>
    <row r="80" spans="1:11" ht="15" hidden="1" customHeight="1" x14ac:dyDescent="0.25">
      <c r="A80" s="11" t="s">
        <v>34</v>
      </c>
    </row>
    <row r="81" spans="1:1" ht="15" hidden="1" customHeight="1" x14ac:dyDescent="0.25">
      <c r="A81" s="1"/>
    </row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</sheetData>
  <sheetProtection formatCells="0" insertColumns="0" insertRows="0"/>
  <protectedRanges>
    <protectedRange sqref="B7:J12" name="Rango8"/>
    <protectedRange sqref="C28:D28 G28:K28 C32:D32 G32:K32 C25:K27 C33:K35 C29:K31" name="Rango6"/>
    <protectedRange sqref="A38:K40" name="Rango5"/>
    <protectedRange sqref="C44:K45" name="Rango4"/>
    <protectedRange sqref="C48:K49" name="Rango3"/>
    <protectedRange sqref="C52:K52" name="Rango2"/>
    <protectedRange sqref="C55:K56" name="Rango1"/>
    <protectedRange sqref="B65:K68" name="Rango7"/>
  </protectedRanges>
  <mergeCells count="202">
    <mergeCell ref="E59:F59"/>
    <mergeCell ref="E60:F60"/>
    <mergeCell ref="G59:H59"/>
    <mergeCell ref="G60:H60"/>
    <mergeCell ref="I59:J59"/>
    <mergeCell ref="I60:J60"/>
    <mergeCell ref="A59:B59"/>
    <mergeCell ref="A60:B60"/>
    <mergeCell ref="C59:D59"/>
    <mergeCell ref="C60:D60"/>
    <mergeCell ref="C57:D57"/>
    <mergeCell ref="G53:H53"/>
    <mergeCell ref="I53:J53"/>
    <mergeCell ref="C54:D54"/>
    <mergeCell ref="E54:F54"/>
    <mergeCell ref="G54:H54"/>
    <mergeCell ref="I54:J54"/>
    <mergeCell ref="A53:B54"/>
    <mergeCell ref="C52:D52"/>
    <mergeCell ref="E52:F52"/>
    <mergeCell ref="G52:H52"/>
    <mergeCell ref="I52:J52"/>
    <mergeCell ref="I55:J55"/>
    <mergeCell ref="I56:J56"/>
    <mergeCell ref="E55:F55"/>
    <mergeCell ref="E56:F56"/>
    <mergeCell ref="G55:H55"/>
    <mergeCell ref="G56:H56"/>
    <mergeCell ref="A55:B55"/>
    <mergeCell ref="A56:B56"/>
    <mergeCell ref="C55:D55"/>
    <mergeCell ref="C56:D56"/>
    <mergeCell ref="I50:J50"/>
    <mergeCell ref="G50:H50"/>
    <mergeCell ref="E50:F50"/>
    <mergeCell ref="C50:D50"/>
    <mergeCell ref="A50:B51"/>
    <mergeCell ref="G51:H51"/>
    <mergeCell ref="I51:J51"/>
    <mergeCell ref="I48:J48"/>
    <mergeCell ref="I49:J49"/>
    <mergeCell ref="G48:H48"/>
    <mergeCell ref="G49:H49"/>
    <mergeCell ref="E48:F48"/>
    <mergeCell ref="E49:F49"/>
    <mergeCell ref="C38:D38"/>
    <mergeCell ref="C39:D39"/>
    <mergeCell ref="C40:D40"/>
    <mergeCell ref="A41:K41"/>
    <mergeCell ref="K42:K43"/>
    <mergeCell ref="C48:D48"/>
    <mergeCell ref="C49:D49"/>
    <mergeCell ref="A48:B48"/>
    <mergeCell ref="A49:B49"/>
    <mergeCell ref="A1:K1"/>
    <mergeCell ref="A2:K2"/>
    <mergeCell ref="A4:K4"/>
    <mergeCell ref="A5:K5"/>
    <mergeCell ref="C58:D58"/>
    <mergeCell ref="E58:F58"/>
    <mergeCell ref="G58:H58"/>
    <mergeCell ref="A58:B58"/>
    <mergeCell ref="K53:K54"/>
    <mergeCell ref="C53:D53"/>
    <mergeCell ref="E53:F53"/>
    <mergeCell ref="A52:B52"/>
    <mergeCell ref="K50:K51"/>
    <mergeCell ref="E51:F51"/>
    <mergeCell ref="C51:D51"/>
    <mergeCell ref="K46:K47"/>
    <mergeCell ref="I46:J46"/>
    <mergeCell ref="I47:J47"/>
    <mergeCell ref="C47:D47"/>
    <mergeCell ref="E47:F47"/>
    <mergeCell ref="E37:F37"/>
    <mergeCell ref="C36:D36"/>
    <mergeCell ref="C37:D37"/>
    <mergeCell ref="A36:B37"/>
    <mergeCell ref="G47:H47"/>
    <mergeCell ref="G46:H46"/>
    <mergeCell ref="E46:F46"/>
    <mergeCell ref="C46:D46"/>
    <mergeCell ref="A46:B47"/>
    <mergeCell ref="I45:J45"/>
    <mergeCell ref="G45:H45"/>
    <mergeCell ref="E45:F45"/>
    <mergeCell ref="C45:D45"/>
    <mergeCell ref="A45:B45"/>
    <mergeCell ref="E42:F42"/>
    <mergeCell ref="E43:F43"/>
    <mergeCell ref="C42:D42"/>
    <mergeCell ref="C43:D43"/>
    <mergeCell ref="A42:B43"/>
    <mergeCell ref="I44:J44"/>
    <mergeCell ref="G44:H44"/>
    <mergeCell ref="E44:F44"/>
    <mergeCell ref="C44:D44"/>
    <mergeCell ref="A44:B44"/>
    <mergeCell ref="K36:K37"/>
    <mergeCell ref="I36:J36"/>
    <mergeCell ref="I37:J37"/>
    <mergeCell ref="G36:H36"/>
    <mergeCell ref="G37:H37"/>
    <mergeCell ref="I38:J38"/>
    <mergeCell ref="G38:H38"/>
    <mergeCell ref="I42:J42"/>
    <mergeCell ref="I43:J43"/>
    <mergeCell ref="G42:H42"/>
    <mergeCell ref="G43:H43"/>
    <mergeCell ref="C35:D35"/>
    <mergeCell ref="A35:B35"/>
    <mergeCell ref="E35:F35"/>
    <mergeCell ref="G35:H35"/>
    <mergeCell ref="I35:J35"/>
    <mergeCell ref="I39:J39"/>
    <mergeCell ref="I40:J40"/>
    <mergeCell ref="G39:H39"/>
    <mergeCell ref="G40:H40"/>
    <mergeCell ref="A38:B38"/>
    <mergeCell ref="E38:F38"/>
    <mergeCell ref="E36:F36"/>
    <mergeCell ref="G33:H33"/>
    <mergeCell ref="I32:J32"/>
    <mergeCell ref="I33:J33"/>
    <mergeCell ref="K32:K33"/>
    <mergeCell ref="C32:D32"/>
    <mergeCell ref="C33:D33"/>
    <mergeCell ref="A34:B34"/>
    <mergeCell ref="C34:D34"/>
    <mergeCell ref="E34:F34"/>
    <mergeCell ref="G34:H34"/>
    <mergeCell ref="I34:J34"/>
    <mergeCell ref="K28:K29"/>
    <mergeCell ref="A28:B29"/>
    <mergeCell ref="E28:F28"/>
    <mergeCell ref="E29:F29"/>
    <mergeCell ref="G28:H28"/>
    <mergeCell ref="G29:H29"/>
    <mergeCell ref="C28:D28"/>
    <mergeCell ref="C29:D29"/>
    <mergeCell ref="A30:B30"/>
    <mergeCell ref="C30:D30"/>
    <mergeCell ref="E30:F30"/>
    <mergeCell ref="G30:H30"/>
    <mergeCell ref="I30:J30"/>
    <mergeCell ref="E25:F25"/>
    <mergeCell ref="G25:H25"/>
    <mergeCell ref="I25:J25"/>
    <mergeCell ref="A27:B27"/>
    <mergeCell ref="C27:D27"/>
    <mergeCell ref="E27:F27"/>
    <mergeCell ref="G27:H27"/>
    <mergeCell ref="I27:J27"/>
    <mergeCell ref="I28:J28"/>
    <mergeCell ref="B65:K65"/>
    <mergeCell ref="B66:K66"/>
    <mergeCell ref="B67:K67"/>
    <mergeCell ref="B68:K68"/>
    <mergeCell ref="B9:J9"/>
    <mergeCell ref="B10:J10"/>
    <mergeCell ref="G14:O14"/>
    <mergeCell ref="B11:J11"/>
    <mergeCell ref="B7:J7"/>
    <mergeCell ref="B12:F12"/>
    <mergeCell ref="H12:I12"/>
    <mergeCell ref="A22:K22"/>
    <mergeCell ref="A23:B24"/>
    <mergeCell ref="E23:F23"/>
    <mergeCell ref="E24:F24"/>
    <mergeCell ref="G23:H23"/>
    <mergeCell ref="G24:H24"/>
    <mergeCell ref="I23:J23"/>
    <mergeCell ref="I24:J24"/>
    <mergeCell ref="K23:K24"/>
    <mergeCell ref="C23:D23"/>
    <mergeCell ref="C24:D24"/>
    <mergeCell ref="A25:B25"/>
    <mergeCell ref="C25:D25"/>
    <mergeCell ref="A26:B26"/>
    <mergeCell ref="C26:D26"/>
    <mergeCell ref="E26:F26"/>
    <mergeCell ref="G26:H26"/>
    <mergeCell ref="I26:J26"/>
    <mergeCell ref="E39:F39"/>
    <mergeCell ref="A39:B39"/>
    <mergeCell ref="I58:J58"/>
    <mergeCell ref="I57:J57"/>
    <mergeCell ref="G57:H57"/>
    <mergeCell ref="E57:F57"/>
    <mergeCell ref="A57:B57"/>
    <mergeCell ref="A40:B40"/>
    <mergeCell ref="E40:F40"/>
    <mergeCell ref="I29:J29"/>
    <mergeCell ref="A31:B31"/>
    <mergeCell ref="C31:D31"/>
    <mergeCell ref="E31:F31"/>
    <mergeCell ref="G31:H31"/>
    <mergeCell ref="I31:J31"/>
    <mergeCell ref="A32:B33"/>
    <mergeCell ref="E32:F32"/>
    <mergeCell ref="E33:F33"/>
    <mergeCell ref="G32:H32"/>
  </mergeCells>
  <pageMargins left="0.7" right="0.7" top="0.75" bottom="0.75" header="0.3" footer="0.3"/>
  <pageSetup scale="5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434" yWindow="403" count="1">
        <x14:dataValidation type="list" allowBlank="1" showInputMessage="1" showErrorMessage="1" xr:uid="{F8414F07-4FBB-4FEE-BCEE-2D73DE4A77FE}">
          <x14:formula1>
            <xm:f>Hoja2!$A$1:$A$16</xm:f>
          </x14:formula1>
          <xm:sqref>H12:I12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F5BF-1E5C-47C5-AFA0-36B45428C2C7}">
  <dimension ref="A1:A16"/>
  <sheetViews>
    <sheetView workbookViewId="0">
      <selection activeCell="G8" sqref="G8"/>
    </sheetView>
  </sheetViews>
  <sheetFormatPr baseColWidth="10" defaultRowHeight="15" x14ac:dyDescent="0.25"/>
  <sheetData>
    <row r="1" spans="1:1" x14ac:dyDescent="0.25">
      <c r="A1" t="s">
        <v>59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D25EDC-1A70-4C77-B14D-423EE85BE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Patricia Zamora Rodriguez</dc:creator>
  <cp:lastModifiedBy>Jerry Quintero Figueroa</cp:lastModifiedBy>
  <dcterms:created xsi:type="dcterms:W3CDTF">2023-06-23T19:47:39Z</dcterms:created>
  <dcterms:modified xsi:type="dcterms:W3CDTF">2023-09-11T20:59:00Z</dcterms:modified>
</cp:coreProperties>
</file>